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lance Sheet" sheetId="1" state="visible" r:id="rId3"/>
    <sheet name="Income Statement" sheetId="2" state="visible" r:id="rId4"/>
    <sheet name="Cash Flow Statement" sheetId="3" state="visible" r:id="rId5"/>
    <sheet name="Ratios" sheetId="4" state="visible" r:id="rId6"/>
    <sheet name="No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<sst xmlns="http://schemas.openxmlformats.org/spreadsheetml/2006/main" count="317" uniqueCount="286">
  <si>
    <t xml:space="preserve">Balance Sheet — Exxon Mobil Corporation (XOM)</t>
  </si>
  <si>
    <t xml:space="preserve">ASSETS</t>
  </si>
  <si>
    <t xml:space="preserve">FY2024 (Dec 31, 2024)</t>
  </si>
  <si>
    <t xml:space="preserve">FY2023 (Dec 31, 2023)</t>
  </si>
  <si>
    <t xml:space="preserve">LIABILITIES &amp; EQUITY</t>
  </si>
  <si>
    <t xml:space="preserve">(All figures in $millions)</t>
  </si>
  <si>
    <t xml:space="preserve">Current Assets</t>
  </si>
  <si>
    <t xml:space="preserve">Current Liabilities</t>
  </si>
  <si>
    <t xml:space="preserve">   Cash and cash equivalents</t>
  </si>
  <si>
    <t xml:space="preserve">   Notes and loans payable (short-term debt)</t>
  </si>
  <si>
    <t xml:space="preserve">   Notes and accounts receivable – net</t>
  </si>
  <si>
    <t xml:space="preserve">   Accounts payable and accrued liabilities</t>
  </si>
  <si>
    <t xml:space="preserve">   Inventories</t>
  </si>
  <si>
    <t xml:space="preserve">   Income taxes payable</t>
  </si>
  <si>
    <t xml:space="preserve">   Other current assets</t>
  </si>
  <si>
    <t xml:space="preserve">   Total current liabilities</t>
  </si>
  <si>
    <t xml:space="preserve">   Total current assets</t>
  </si>
  <si>
    <t xml:space="preserve">   Long-term debt</t>
  </si>
  <si>
    <t xml:space="preserve">Fixed Assets</t>
  </si>
  <si>
    <t xml:space="preserve">   Other long-term liabilities</t>
  </si>
  <si>
    <t xml:space="preserve">   Property, plant, and equipment (gross)</t>
  </si>
  <si>
    <t xml:space="preserve">   Less accumulated depreciation</t>
  </si>
  <si>
    <t xml:space="preserve">Total Liabilities</t>
  </si>
  <si>
    <t xml:space="preserve">   Net tangible fixed assets</t>
  </si>
  <si>
    <t xml:space="preserve">Shareholders' Equity</t>
  </si>
  <si>
    <t xml:space="preserve">Other Assets</t>
  </si>
  <si>
    <t xml:space="preserve">   Common stock and paid-in capital</t>
  </si>
  <si>
    <t xml:space="preserve">   Investments, advances &amp; other assets</t>
  </si>
  <si>
    <t xml:space="preserve">   Earnings reinvested (net of treasury)</t>
  </si>
  <si>
    <t xml:space="preserve">   Noncontrolling interests</t>
  </si>
  <si>
    <t xml:space="preserve">   Total shareholders' equity</t>
  </si>
  <si>
    <t xml:space="preserve">Total Assets</t>
  </si>
  <si>
    <t xml:space="preserve">Total Liabilities + Equity</t>
  </si>
  <si>
    <t xml:space="preserve">Balance Check (TA − TL&amp;E)</t>
  </si>
  <si>
    <t xml:space="preserve">Source: ExxonMobil 10-K FY2024, SEC EDGAR</t>
  </si>
  <si>
    <t xml:space="preserve">Income Statement — Exxon Mobil Corporation (XOM)</t>
  </si>
  <si>
    <t xml:space="preserve">Line Item</t>
  </si>
  <si>
    <t xml:space="preserve">% of Sales</t>
  </si>
  <si>
    <t xml:space="preserve">Net sales / revenues</t>
  </si>
  <si>
    <t xml:space="preserve">less Cost of goods sold (purchases, manufacturing)</t>
  </si>
  <si>
    <t xml:space="preserve">less Selling, general &amp; administrative</t>
  </si>
  <si>
    <t xml:space="preserve">less Depreciation and depletion</t>
  </si>
  <si>
    <t xml:space="preserve">Earnings before interest &amp; taxes (EBIT)</t>
  </si>
  <si>
    <t xml:space="preserve">plus Other income (interest income + other non-op)</t>
  </si>
  <si>
    <t xml:space="preserve">less Interest expense</t>
  </si>
  <si>
    <t xml:space="preserve">Taxable income</t>
  </si>
  <si>
    <t xml:space="preserve">less Taxes</t>
  </si>
  <si>
    <t xml:space="preserve">Net income (attributable to ExxonMobil)</t>
  </si>
  <si>
    <t xml:space="preserve">Allocation of Net Income</t>
  </si>
  <si>
    <t xml:space="preserve">Dividends</t>
  </si>
  <si>
    <t xml:space="preserve">Addition to retained earnings</t>
  </si>
  <si>
    <t xml:space="preserve">Cash Flow Statement — Exxon Mobil Corporation (XOM)</t>
  </si>
  <si>
    <t xml:space="preserve">Source / Notes</t>
  </si>
  <si>
    <t xml:space="preserve">Operations:</t>
  </si>
  <si>
    <t xml:space="preserve">Net income</t>
  </si>
  <si>
    <t xml:space="preserve">[Income Statement]</t>
  </si>
  <si>
    <t xml:space="preserve">plus Depreciation and depletion</t>
  </si>
  <si>
    <t xml:space="preserve">      plus Changes in working capital items</t>
  </si>
  <si>
    <t xml:space="preserve">      Decrease (increase) in accounts receivable</t>
  </si>
  <si>
    <t xml:space="preserve">[Balance Sheet]</t>
  </si>
  <si>
    <t xml:space="preserve">      Decrease (increase) in inventories</t>
  </si>
  <si>
    <t xml:space="preserve">      Decrease (increase) in other current assets</t>
  </si>
  <si>
    <t xml:space="preserve">      Increase (decrease) in accounts payable</t>
  </si>
  <si>
    <t xml:space="preserve">      Increase (decrease) in income taxes payable</t>
  </si>
  <si>
    <t xml:space="preserve">      Total change in working capital</t>
  </si>
  <si>
    <t xml:space="preserve">   Cash provided by operations</t>
  </si>
  <si>
    <t xml:space="preserve">Investments:</t>
  </si>
  <si>
    <t xml:space="preserve">Capital expenditures (additions to PP&amp;E)</t>
  </si>
  <si>
    <t xml:space="preserve">plus Additional investments and advances</t>
  </si>
  <si>
    <t xml:space="preserve">plus Proceeds from asset sales</t>
  </si>
  <si>
    <t xml:space="preserve">   Cash provided by (used for) investments</t>
  </si>
  <si>
    <t xml:space="preserve">Financing activities:</t>
  </si>
  <si>
    <t xml:space="preserve">Increase (decrease) in short-term debt</t>
  </si>
  <si>
    <t xml:space="preserve">plus Increase (decrease) in long-term debt</t>
  </si>
  <si>
    <t xml:space="preserve">plus Dividends</t>
  </si>
  <si>
    <t xml:space="preserve">plus Issues (repurchases) of stock (net)</t>
  </si>
  <si>
    <t xml:space="preserve">plus Other financing activities</t>
  </si>
  <si>
    <t xml:space="preserve">   Cash provided by (used for) financing</t>
  </si>
  <si>
    <t xml:space="preserve">   Net increase (decrease) in cash</t>
  </si>
  <si>
    <t xml:space="preserve">Ratios — Exxon Mobil Corporation (XOM)</t>
  </si>
  <si>
    <t xml:space="preserve">Metric</t>
  </si>
  <si>
    <t xml:space="preserve">Input</t>
  </si>
  <si>
    <t xml:space="preserve">Named Range Formula</t>
  </si>
  <si>
    <t xml:space="preserve">Named Range</t>
  </si>
  <si>
    <t xml:space="preserve">Current year</t>
  </si>
  <si>
    <t xml:space="preserve">yearCurrent</t>
  </si>
  <si>
    <t xml:space="preserve">Start of year</t>
  </si>
  <si>
    <t xml:space="preserve">yearCurrent - 1</t>
  </si>
  <si>
    <t xml:space="preserve">yearStart</t>
  </si>
  <si>
    <t xml:space="preserve">Share price</t>
  </si>
  <si>
    <t xml:space="preserve">share_price</t>
  </si>
  <si>
    <t xml:space="preserve">Shares outstanding (M)</t>
  </si>
  <si>
    <t xml:space="preserve">shares_outstanding</t>
  </si>
  <si>
    <t xml:space="preserve">Cost of capital</t>
  </si>
  <si>
    <t xml:space="preserve">cost_capital</t>
  </si>
  <si>
    <t xml:space="preserve">Tax rate</t>
  </si>
  <si>
    <t xml:space="preserve">tax_rate</t>
  </si>
  <si>
    <t xml:space="preserve">Market capitalization</t>
  </si>
  <si>
    <t xml:space="preserve">share_price × shares_outstanding</t>
  </si>
  <si>
    <t xml:space="preserve">market_capitalization</t>
  </si>
  <si>
    <t xml:space="preserve">─── Start of Year (Prior Year Balance Sheet) ───</t>
  </si>
  <si>
    <t xml:space="preserve">Equity (start of year)</t>
  </si>
  <si>
    <t xml:space="preserve">BAL_equity_shareholders_2023</t>
  </si>
  <si>
    <t xml:space="preserve">startYear_equity</t>
  </si>
  <si>
    <t xml:space="preserve">Inventories (start of year)</t>
  </si>
  <si>
    <t xml:space="preserve">BAL_inventories_2023</t>
  </si>
  <si>
    <t xml:space="preserve">startYear_inventory</t>
  </si>
  <si>
    <t xml:space="preserve">Receivables (start of year)</t>
  </si>
  <si>
    <t xml:space="preserve">BAL_receivables_2023</t>
  </si>
  <si>
    <t xml:space="preserve">startYear_receivables</t>
  </si>
  <si>
    <t xml:space="preserve">Total assets (start of year)</t>
  </si>
  <si>
    <t xml:space="preserve">BAL_assets_total_2023</t>
  </si>
  <si>
    <t xml:space="preserve">startYear_total_assets</t>
  </si>
  <si>
    <t xml:space="preserve">Total capitalization (start of year)</t>
  </si>
  <si>
    <t xml:space="preserve">BAL_debt_long_term_2023 + BAL_equity_shareholders_2023</t>
  </si>
  <si>
    <t xml:space="preserve">startYear_total_capitalization</t>
  </si>
  <si>
    <t xml:space="preserve">─── Current Year (Derived) ───</t>
  </si>
  <si>
    <t xml:space="preserve">After-tax operating income</t>
  </si>
  <si>
    <t xml:space="preserve">INC_ebit + (1−tax_rate) × INC_interest_expense</t>
  </si>
  <si>
    <t xml:space="preserve">currentYear_after_tax_operating_income</t>
  </si>
  <si>
    <t xml:space="preserve">Average daily sales</t>
  </si>
  <si>
    <t xml:space="preserve">INC_sales / 365</t>
  </si>
  <si>
    <t xml:space="preserve">currentYear_daily_sales_average</t>
  </si>
  <si>
    <t xml:space="preserve">Book value of equity</t>
  </si>
  <si>
    <t xml:space="preserve">BAL_equity_shareholders_2024</t>
  </si>
  <si>
    <t xml:space="preserve">currentYear_equity</t>
  </si>
  <si>
    <t xml:space="preserve">Cash</t>
  </si>
  <si>
    <t xml:space="preserve">BAL_cash_2024</t>
  </si>
  <si>
    <t xml:space="preserve">currentYear_cash</t>
  </si>
  <si>
    <t xml:space="preserve">Current assets</t>
  </si>
  <si>
    <t xml:space="preserve">BAL_assets_current_2024</t>
  </si>
  <si>
    <t xml:space="preserve">currentYear_assets_current</t>
  </si>
  <si>
    <t xml:space="preserve">Current liabilities</t>
  </si>
  <si>
    <t xml:space="preserve">BAL_liabilities_current_2024</t>
  </si>
  <si>
    <t xml:space="preserve">currentYear_liabilities_current</t>
  </si>
  <si>
    <t xml:space="preserve">Daily COGS</t>
  </si>
  <si>
    <t xml:space="preserve">INC_cost_goods_sold / 365</t>
  </si>
  <si>
    <t xml:space="preserve">currentYear_cost_goods_sold_daily</t>
  </si>
  <si>
    <t xml:space="preserve">Long-term debt</t>
  </si>
  <si>
    <t xml:space="preserve">BAL_debt_long_term_2024</t>
  </si>
  <si>
    <t xml:space="preserve">currentYear_debt_long_term</t>
  </si>
  <si>
    <t xml:space="preserve">Net working capital</t>
  </si>
  <si>
    <t xml:space="preserve">BAL_assets_current_2024 − BAL_liabilities_current_2024</t>
  </si>
  <si>
    <t xml:space="preserve">currentYear_working_capital_net</t>
  </si>
  <si>
    <t xml:space="preserve">Total assets</t>
  </si>
  <si>
    <t xml:space="preserve">BAL_assets_total_2024</t>
  </si>
  <si>
    <t xml:space="preserve">currentYear_assets_total</t>
  </si>
  <si>
    <t xml:space="preserve">Total capitalization</t>
  </si>
  <si>
    <t xml:space="preserve">BAL_debt_long_term_2024 + BAL_equity_shareholders_2024</t>
  </si>
  <si>
    <t xml:space="preserve">currentYear_total_capitalization</t>
  </si>
  <si>
    <t xml:space="preserve">Total liabilities</t>
  </si>
  <si>
    <t xml:space="preserve">BAL_liabilities_total_2024</t>
  </si>
  <si>
    <t xml:space="preserve">currentYear_liabilities_total</t>
  </si>
  <si>
    <t xml:space="preserve">─── Mixed Year (Averages) ───</t>
  </si>
  <si>
    <t xml:space="preserve">Average equity</t>
  </si>
  <si>
    <t xml:space="preserve">AVERAGE(startYear_equity, currentYear_equity)</t>
  </si>
  <si>
    <t xml:space="preserve">avg_equity</t>
  </si>
  <si>
    <t xml:space="preserve">Average total assets</t>
  </si>
  <si>
    <t xml:space="preserve">AVERAGE(startYear_total_assets, currentYear_assets_total)</t>
  </si>
  <si>
    <t xml:space="preserve">avg_total_assets</t>
  </si>
  <si>
    <t xml:space="preserve">Average total capitalization</t>
  </si>
  <si>
    <t xml:space="preserve">AVERAGE(startYear_total_capitalization, currentYear_total_capitalization)</t>
  </si>
  <si>
    <t xml:space="preserve">avg_total_capitalization</t>
  </si>
  <si>
    <t xml:space="preserve">Long-term debt + Equity</t>
  </si>
  <si>
    <t xml:space="preserve">currentYear_debt_long_term + currentYear_equity</t>
  </si>
  <si>
    <t xml:space="preserve">debt_long_term_equity</t>
  </si>
  <si>
    <t xml:space="preserve">Ratio</t>
  </si>
  <si>
    <t xml:space="preserve">Output ← Completed</t>
  </si>
  <si>
    <t xml:space="preserve">Named Range Formula (reference)</t>
  </si>
  <si>
    <t xml:space="preserve">Performance</t>
  </si>
  <si>
    <t xml:space="preserve">Market value added (MVA)</t>
  </si>
  <si>
    <t xml:space="preserve">market_capitalization − currentYear_equity</t>
  </si>
  <si>
    <t xml:space="preserve">Market-to-book ratio</t>
  </si>
  <si>
    <t xml:space="preserve">market_capitalization / currentYear_equity</t>
  </si>
  <si>
    <t xml:space="preserve">Economic value added (EVA)</t>
  </si>
  <si>
    <t xml:space="preserve">currentYear_after_tax_operating_income − (cost_capital × startYear_total_capitalization)</t>
  </si>
  <si>
    <t xml:space="preserve">Profitability</t>
  </si>
  <si>
    <t xml:space="preserve">Return on assets (ROA)</t>
  </si>
  <si>
    <t xml:space="preserve">currentYear_after_tax_operating_income / startYear_total_assets</t>
  </si>
  <si>
    <t xml:space="preserve">Return on capital (ROC)</t>
  </si>
  <si>
    <t xml:space="preserve">currentYear_after_tax_operating_income / startYear_total_capitalization</t>
  </si>
  <si>
    <t xml:space="preserve">Return on equity (ROE)</t>
  </si>
  <si>
    <t xml:space="preserve">INC_net / startYear_equity</t>
  </si>
  <si>
    <t xml:space="preserve">Return on assets (ROA) [AVG]</t>
  </si>
  <si>
    <t xml:space="preserve">currentYear_after_tax_operating_income / avg_total_assets</t>
  </si>
  <si>
    <t xml:space="preserve">Return on capital (ROC) [AVG]</t>
  </si>
  <si>
    <t xml:space="preserve">currentYear_after_tax_operating_income / avg_total_capitalization</t>
  </si>
  <si>
    <t xml:space="preserve">Return on equity (ROE) [AVG]</t>
  </si>
  <si>
    <t xml:space="preserve">INC_net / avg_equity</t>
  </si>
  <si>
    <t xml:space="preserve">Efficiency</t>
  </si>
  <si>
    <t xml:space="preserve">Asset turnover</t>
  </si>
  <si>
    <t xml:space="preserve">INC_sales / startYear_total_assets</t>
  </si>
  <si>
    <t xml:space="preserve">RATIO_asset_turnover</t>
  </si>
  <si>
    <t xml:space="preserve">Receivables turnover</t>
  </si>
  <si>
    <t xml:space="preserve">INC_sales / startYear_receivables</t>
  </si>
  <si>
    <t xml:space="preserve">Average collection period (days)</t>
  </si>
  <si>
    <t xml:space="preserve">startYear_receivables / currentYear_daily_sales_average</t>
  </si>
  <si>
    <t xml:space="preserve">Inventory turnover</t>
  </si>
  <si>
    <t xml:space="preserve">INC_cost_goods_sold / startYear_inventory</t>
  </si>
  <si>
    <t xml:space="preserve">Days in inventory</t>
  </si>
  <si>
    <t xml:space="preserve">startYear_inventory / currentYear_cost_goods_sold_daily</t>
  </si>
  <si>
    <t xml:space="preserve">Profit margin</t>
  </si>
  <si>
    <t xml:space="preserve">INC_net / INC_sales</t>
  </si>
  <si>
    <t xml:space="preserve">Operating profit margin</t>
  </si>
  <si>
    <t xml:space="preserve">currentYear_after_tax_operating_income / INC_sales</t>
  </si>
  <si>
    <t xml:space="preserve">RATIO_operating_profit_margin</t>
  </si>
  <si>
    <t xml:space="preserve">Leverage</t>
  </si>
  <si>
    <t xml:space="preserve">Long-term debt ratio</t>
  </si>
  <si>
    <t xml:space="preserve">currentYear_debt_long_term / (currentYear_debt_long_term + currentYear_equity)</t>
  </si>
  <si>
    <t xml:space="preserve">Long-term debt-equity ratio</t>
  </si>
  <si>
    <t xml:space="preserve">currentYear_debt_long_term / currentYear_equity</t>
  </si>
  <si>
    <t xml:space="preserve">Total debt ratio</t>
  </si>
  <si>
    <t xml:space="preserve">currentYear_liabilities_total / currentYear_assets_total</t>
  </si>
  <si>
    <t xml:space="preserve">Times interest earned</t>
  </si>
  <si>
    <t xml:space="preserve">INC_ebit / INC_interest_expense</t>
  </si>
  <si>
    <t xml:space="preserve">Cash coverage ratio</t>
  </si>
  <si>
    <t xml:space="preserve">(INC_ebit + INC_depreciation) / INC_interest_expense</t>
  </si>
  <si>
    <t xml:space="preserve">Debt burden</t>
  </si>
  <si>
    <t xml:space="preserve">INC_net / currentYear_after_tax_operating_income</t>
  </si>
  <si>
    <t xml:space="preserve">RATIO_debt_burden</t>
  </si>
  <si>
    <t xml:space="preserve">Leverage ratio</t>
  </si>
  <si>
    <t xml:space="preserve">currentYear_assets_total / currentYear_equity</t>
  </si>
  <si>
    <t xml:space="preserve">RATIO_leverage</t>
  </si>
  <si>
    <t xml:space="preserve">Liquidity</t>
  </si>
  <si>
    <t xml:space="preserve">Net working capital to assets</t>
  </si>
  <si>
    <t xml:space="preserve">currentYear_working_capital_net / currentYear_assets_total</t>
  </si>
  <si>
    <t xml:space="preserve">Current ratio</t>
  </si>
  <si>
    <t xml:space="preserve">currentYear_assets_current / currentYear_liabilities_current</t>
  </si>
  <si>
    <t xml:space="preserve">Quick ratio</t>
  </si>
  <si>
    <t xml:space="preserve">(currentYear_cash + BAL_receivables_YEAR) / currentYear_liabilities_current</t>
  </si>
  <si>
    <t xml:space="preserve">Cash ratio</t>
  </si>
  <si>
    <t xml:space="preserve">currentYear_cash / currentYear_liabilities_current</t>
  </si>
  <si>
    <t xml:space="preserve">Du Pont System</t>
  </si>
  <si>
    <t xml:space="preserve">Return on assets (Du Pont)</t>
  </si>
  <si>
    <t xml:space="preserve">RATIO_asset_turnover × RATIO_operating_profit_margin</t>
  </si>
  <si>
    <t xml:space="preserve">  └   └ Asset turnover</t>
  </si>
  <si>
    <t xml:space="preserve">→ from Efficiency section</t>
  </si>
  <si>
    <t xml:space="preserve">  └   └ Operating profit margin</t>
  </si>
  <si>
    <t xml:space="preserve">Return on equity (Du Pont)</t>
  </si>
  <si>
    <t xml:space="preserve">RATIO_leverage × RATIO_asset_turnover × RATIO_operating_profit_margin × RATIO_debt_burden</t>
  </si>
  <si>
    <t xml:space="preserve">  └   └ Leverage ratio</t>
  </si>
  <si>
    <t xml:space="preserve">→ from Leverage section</t>
  </si>
  <si>
    <t xml:space="preserve">  └   └ Debt burden</t>
  </si>
  <si>
    <t xml:space="preserve">Color Key:</t>
  </si>
  <si>
    <t xml:space="preserve">Blue = Assumptions (analyst inputs)</t>
  </si>
  <si>
    <t xml:space="preserve">Yellow = Data inputs (from financials)</t>
  </si>
  <si>
    <t xml:space="preserve">Light yellow = Student formula output cells</t>
  </si>
  <si>
    <t xml:space="preserve">Notes &amp; Assumptions — Exxon Mobil Corporation (XOM)</t>
  </si>
  <si>
    <t xml:space="preserve">Company:</t>
  </si>
  <si>
    <t xml:space="preserve">Exxon Mobil Corporation</t>
  </si>
  <si>
    <t xml:space="preserve">Ticker:</t>
  </si>
  <si>
    <t xml:space="preserve">XOM</t>
  </si>
  <si>
    <t xml:space="preserve">Industry:</t>
  </si>
  <si>
    <t xml:space="preserve">Energy – Integrated Oil &amp; Gas</t>
  </si>
  <si>
    <t xml:space="preserve">Fiscal Year (current):</t>
  </si>
  <si>
    <t xml:space="preserve">Fiscal Year (prior):</t>
  </si>
  <si>
    <t xml:space="preserve">Data Source:</t>
  </si>
  <si>
    <t xml:space="preserve">ExxonMobil 10-K FY2024, SEC EDGAR; Q4 2024 Earnings Press Release</t>
  </si>
  <si>
    <t xml:space="preserve">Units:</t>
  </si>
  <si>
    <t xml:space="preserve">All figures in millions of US dollars unless otherwise noted.</t>
  </si>
  <si>
    <t xml:space="preserve">Tax Rate:</t>
  </si>
  <si>
    <t xml:space="preserve">28.3% — effective tax rate from 10-K (income taxes / pretax income)</t>
  </si>
  <si>
    <t xml:space="preserve">Cost of Capital:</t>
  </si>
  <si>
    <t xml:space="preserve">9.0% — estimated WACC; students may refine using CAPM + class methodology</t>
  </si>
  <si>
    <t xml:space="preserve">Share Price:</t>
  </si>
  <si>
    <t xml:space="preserve">$103.76 — closing price on December 31, 2024</t>
  </si>
  <si>
    <t xml:space="preserve">Shares Outstanding:</t>
  </si>
  <si>
    <t xml:space="preserve">4,298M shares (diluted, FY2024 average)</t>
  </si>
  <si>
    <t xml:space="preserve">BUS-314 Project Use:</t>
  </si>
  <si>
    <t xml:space="preserve">This workbook provides real financial statement data for the Accounting &amp; Performance Ratios project.</t>
  </si>
  <si>
    <t xml:space="preserve">Stage 2 Task:</t>
  </si>
  <si>
    <t xml:space="preserve">Complete the Ratios tab by entering formulas using the named ranges shown in column D.</t>
  </si>
  <si>
    <t xml:space="preserve">Stage 3 Task:</t>
  </si>
  <si>
    <t xml:space="preserve">Document your model in a Technical Specification using the template-spec.md template.</t>
  </si>
  <si>
    <t xml:space="preserve">Stage 4 Task:</t>
  </si>
  <si>
    <t xml:space="preserve">Interpret results and write an executive memo with strategic recommendations.</t>
  </si>
  <si>
    <t xml:space="preserve">AI Usage:</t>
  </si>
  <si>
    <t xml:space="preserve">[Document any AI tools used and how they were applied — required per course AI guidelines]</t>
  </si>
  <si>
    <t xml:space="preserve">Balance Sheet Notes:</t>
  </si>
  <si>
    <t xml:space="preserve">XOM balance sheet follows GAAP with calendar year-end (Dec 31). Unlike AAPL, XOM uses a calendar fiscal year.</t>
  </si>
  <si>
    <t xml:space="preserve">Balance Sheet Notes (cont.):</t>
  </si>
  <si>
    <t xml:space="preserve">PP&amp;E gross/accumulated depreciation are estimated from 10-K notes. Net PP&amp;E FY2024 = $313,554M; FY2023 = $214,940M.</t>
  </si>
  <si>
    <t xml:space="preserve">Income Statement Notes:</t>
  </si>
  <si>
    <t xml:space="preserve">EBIT is derived by subtracting COGS, SG&amp;A, and D&amp;D from revenue. XOM consolidates purchases of crude, products and merchandise in COGS.</t>
  </si>
  <si>
    <t xml:space="preserve">Cash Flow Notes:</t>
  </si>
  <si>
    <t xml:space="preserve">CFO per press release = $55,022M. Some working capital line items are estimated from balance sheet changes.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</si>
</sst>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0.0%"/>
    <numFmt numFmtId="167" formatCode="#,##0"/>
    <numFmt numFmtId="168" formatCode="\$#,##0.00"/>
    <numFmt numFmtId="169" formatCode="#,##0.00"/>
    <numFmt numFmtId="170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i val="true"/>
      <sz val="11"/>
      <color rgb="FF444444"/>
      <name val="Arial"/>
      <family val="0"/>
      <charset val="1"/>
    </font>
    <font>
      <sz val="11"/>
      <color rgb="FF444444"/>
      <name val="Arial"/>
      <family val="0"/>
      <charset val="1"/>
    </font>
    <font>
      <sz val="11"/>
      <color rgb="FF1F3864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444444"/>
      </patternFill>
    </fill>
    <fill>
      <patternFill patternType="solid">
        <fgColor rgb="FF2F5496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D6E4F7"/>
        <bgColor rgb="FFD9D9D9"/>
      </patternFill>
    </fill>
    <fill>
      <patternFill patternType="solid">
        <fgColor rgb="FFC6EFCE"/>
        <bgColor rgb="FFD6E4F7"/>
      </patternFill>
    </fill>
    <fill>
      <patternFill patternType="solid">
        <fgColor rgb="FFD9D9D9"/>
        <bgColor rgb="FFD6E4F7"/>
      </patternFill>
    </fill>
    <fill>
      <patternFill patternType="solid">
        <fgColor rgb="FFBDD7EE"/>
        <bgColor rgb="FFD9D9D9"/>
      </patternFill>
    </fill>
    <fill>
      <patternFill patternType="solid">
        <fgColor rgb="FFFFFF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D6E4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4" min="3" style="0" width="16"/>
    <col collapsed="false" customWidth="true" hidden="false" outlineLevel="0" max="5" min="5" style="0" width="2"/>
    <col collapsed="false" customWidth="true" hidden="false" outlineLevel="0" max="6" min="6" style="0" width="36"/>
    <col collapsed="false" customWidth="true" hidden="false" outlineLevel="0" max="8" min="7" style="0" width="16"/>
  </cols>
  <sheetData>
    <row r="1" customFormat="false" ht="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  <c r="C2" s="2" t="s">
        <v>2</v>
      </c>
      <c r="D2" s="2" t="s">
        <v>3</v>
      </c>
      <c r="F2" s="2" t="s">
        <v>4</v>
      </c>
      <c r="G2" s="2" t="s">
        <v>2</v>
      </c>
      <c r="H2" s="2" t="s">
        <v>3</v>
      </c>
    </row>
    <row r="3" customFormat="false" ht="15" hidden="false" customHeight="false" outlineLevel="0" collapsed="false">
      <c r="B3" s="3" t="s">
        <v>5</v>
      </c>
      <c r="F3" s="3" t="s">
        <v>5</v>
      </c>
    </row>
    <row r="4" customFormat="false" ht="15" hidden="false" customHeight="false" outlineLevel="0" collapsed="false">
      <c r="B4" s="4" t="s">
        <v>6</v>
      </c>
      <c r="C4" s="5"/>
      <c r="D4" s="5"/>
      <c r="F4" s="4" t="s">
        <v>7</v>
      </c>
      <c r="G4" s="5"/>
      <c r="H4" s="5"/>
    </row>
    <row r="5" customFormat="false" ht="15" hidden="false" customHeight="false" outlineLevel="0" collapsed="false">
      <c r="B5" s="3" t="s">
        <v>8</v>
      </c>
      <c r="C5" s="6" t="n">
        <v>23029</v>
      </c>
      <c r="D5" s="6" t="n">
        <v>31539</v>
      </c>
      <c r="F5" s="3" t="s">
        <v>9</v>
      </c>
      <c r="G5" s="6" t="n">
        <v>6335</v>
      </c>
      <c r="H5" s="6" t="n">
        <v>4090</v>
      </c>
    </row>
    <row r="6" customFormat="false" ht="15" hidden="false" customHeight="false" outlineLevel="0" collapsed="false">
      <c r="B6" s="3" t="s">
        <v>10</v>
      </c>
      <c r="C6" s="6" t="n">
        <v>43681</v>
      </c>
      <c r="D6" s="6" t="n">
        <v>38015</v>
      </c>
      <c r="F6" s="3" t="s">
        <v>11</v>
      </c>
      <c r="G6" s="6" t="n">
        <v>65352</v>
      </c>
      <c r="H6" s="6" t="n">
        <v>61226</v>
      </c>
    </row>
    <row r="7" customFormat="false" ht="15" hidden="false" customHeight="false" outlineLevel="0" collapsed="false">
      <c r="B7" s="3" t="s">
        <v>12</v>
      </c>
      <c r="C7" s="6" t="n">
        <v>19567</v>
      </c>
      <c r="D7" s="6" t="n">
        <v>25120</v>
      </c>
      <c r="F7" s="3" t="s">
        <v>13</v>
      </c>
      <c r="G7" s="6" t="n">
        <v>643</v>
      </c>
      <c r="H7" s="6" t="n">
        <v>3910</v>
      </c>
    </row>
    <row r="8" customFormat="false" ht="15" hidden="false" customHeight="false" outlineLevel="0" collapsed="false">
      <c r="B8" s="3" t="s">
        <v>14</v>
      </c>
      <c r="C8" s="6" t="n">
        <v>4713</v>
      </c>
      <c r="D8" s="6" t="n">
        <v>1935</v>
      </c>
      <c r="F8" s="7" t="s">
        <v>15</v>
      </c>
      <c r="G8" s="8" t="n">
        <f aca="false">G5+G6+G7</f>
        <v>72330</v>
      </c>
      <c r="H8" s="8" t="n">
        <f aca="false">H5+H6+H7</f>
        <v>69226</v>
      </c>
    </row>
    <row r="9" customFormat="false" ht="15" hidden="false" customHeight="false" outlineLevel="0" collapsed="false">
      <c r="B9" s="7" t="s">
        <v>16</v>
      </c>
      <c r="C9" s="8" t="n">
        <f aca="false">C5+C6+C7+C8</f>
        <v>90990</v>
      </c>
      <c r="D9" s="8" t="n">
        <f aca="false">D5+D6+D7+D8</f>
        <v>96609</v>
      </c>
    </row>
    <row r="10" customFormat="false" ht="15" hidden="false" customHeight="false" outlineLevel="0" collapsed="false">
      <c r="F10" s="3" t="s">
        <v>17</v>
      </c>
      <c r="G10" s="6" t="n">
        <v>35365</v>
      </c>
      <c r="H10" s="6" t="n">
        <v>37483</v>
      </c>
    </row>
    <row r="11" customFormat="false" ht="15" hidden="false" customHeight="false" outlineLevel="0" collapsed="false">
      <c r="B11" s="4" t="s">
        <v>18</v>
      </c>
      <c r="C11" s="5"/>
      <c r="D11" s="5"/>
      <c r="F11" s="3" t="s">
        <v>19</v>
      </c>
      <c r="G11" s="6" t="n">
        <v>75807</v>
      </c>
      <c r="H11" s="6" t="n">
        <v>60980</v>
      </c>
    </row>
    <row r="12" customFormat="false" ht="15" hidden="false" customHeight="false" outlineLevel="0" collapsed="false">
      <c r="B12" s="3" t="s">
        <v>20</v>
      </c>
      <c r="C12" s="6" t="n">
        <v>457594</v>
      </c>
      <c r="D12" s="6" t="n">
        <v>359838</v>
      </c>
    </row>
    <row r="13" customFormat="false" ht="15" hidden="false" customHeight="false" outlineLevel="0" collapsed="false">
      <c r="B13" s="3" t="s">
        <v>21</v>
      </c>
      <c r="C13" s="6" t="n">
        <v>144040</v>
      </c>
      <c r="D13" s="6" t="n">
        <v>144898</v>
      </c>
      <c r="F13" s="2" t="s">
        <v>22</v>
      </c>
      <c r="G13" s="9" t="n">
        <f aca="false">G8+G10+G11</f>
        <v>183502</v>
      </c>
      <c r="H13" s="9" t="n">
        <f aca="false">H8+H10+H11</f>
        <v>167689</v>
      </c>
    </row>
    <row r="14" customFormat="false" ht="15" hidden="false" customHeight="false" outlineLevel="0" collapsed="false">
      <c r="B14" s="7" t="s">
        <v>23</v>
      </c>
      <c r="C14" s="8" t="n">
        <f aca="false">C12-C13</f>
        <v>313554</v>
      </c>
      <c r="D14" s="8" t="n">
        <f aca="false">D12-D13</f>
        <v>214940</v>
      </c>
    </row>
    <row r="15" customFormat="false" ht="15" hidden="false" customHeight="false" outlineLevel="0" collapsed="false">
      <c r="F15" s="4" t="s">
        <v>24</v>
      </c>
      <c r="G15" s="5"/>
      <c r="H15" s="5"/>
    </row>
    <row r="16" customFormat="false" ht="15" hidden="false" customHeight="false" outlineLevel="0" collapsed="false">
      <c r="B16" s="4" t="s">
        <v>25</v>
      </c>
      <c r="C16" s="5"/>
      <c r="D16" s="5"/>
      <c r="F16" s="3" t="s">
        <v>26</v>
      </c>
      <c r="G16" s="6" t="n">
        <v>47234</v>
      </c>
      <c r="H16" s="6" t="n">
        <v>17781</v>
      </c>
    </row>
    <row r="17" customFormat="false" ht="15" hidden="false" customHeight="false" outlineLevel="0" collapsed="false">
      <c r="B17" s="3" t="s">
        <v>27</v>
      </c>
      <c r="C17" s="10" t="n">
        <f aca="false">C20-C9-C14</f>
        <v>48931</v>
      </c>
      <c r="D17" s="10" t="n">
        <f aca="false">D20-D9-D14</f>
        <v>64768</v>
      </c>
      <c r="F17" s="3" t="s">
        <v>28</v>
      </c>
      <c r="G17" s="6" t="n">
        <v>222613</v>
      </c>
      <c r="H17" s="6" t="n">
        <v>187021</v>
      </c>
    </row>
    <row r="18" customFormat="false" ht="15" hidden="false" customHeight="false" outlineLevel="0" collapsed="false">
      <c r="F18" s="3" t="s">
        <v>29</v>
      </c>
      <c r="G18" s="6" t="n">
        <v>7240</v>
      </c>
      <c r="H18" s="6" t="n">
        <v>7736</v>
      </c>
    </row>
    <row r="19" customFormat="false" ht="15" hidden="false" customHeight="false" outlineLevel="0" collapsed="false">
      <c r="F19" s="7" t="s">
        <v>30</v>
      </c>
      <c r="G19" s="8" t="n">
        <f aca="false">G16+G17+G18</f>
        <v>277087</v>
      </c>
      <c r="H19" s="8" t="n">
        <f aca="false">H16+H17+H18</f>
        <v>212538</v>
      </c>
    </row>
    <row r="20" customFormat="false" ht="15" hidden="false" customHeight="false" outlineLevel="0" collapsed="false">
      <c r="B20" s="2" t="s">
        <v>31</v>
      </c>
      <c r="C20" s="9" t="n">
        <v>453475</v>
      </c>
      <c r="D20" s="9" t="n">
        <v>376317</v>
      </c>
      <c r="F20" s="2" t="s">
        <v>32</v>
      </c>
      <c r="G20" s="9" t="n">
        <f aca="false">G13+G19</f>
        <v>460589</v>
      </c>
      <c r="H20" s="9" t="n">
        <f aca="false">H13+H19</f>
        <v>380227</v>
      </c>
    </row>
    <row r="21" customFormat="false" ht="15" hidden="false" customHeight="false" outlineLevel="0" collapsed="false">
      <c r="B21" s="3" t="s">
        <v>33</v>
      </c>
      <c r="C21" s="10" t="n">
        <f aca="false">C20-G20</f>
        <v>-7114</v>
      </c>
    </row>
    <row r="22" customFormat="false" ht="15" hidden="false" customHeight="false" outlineLevel="0" collapsed="false">
      <c r="B22" s="11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3" min="3" style="0" width="18"/>
    <col collapsed="false" customWidth="true" hidden="false" outlineLevel="0" max="4" min="4" style="0" width="14"/>
  </cols>
  <sheetData>
    <row r="1" customFormat="false" ht="15" hidden="false" customHeight="false" outlineLevel="0" collapsed="false">
      <c r="B1" s="1" t="s">
        <v>35</v>
      </c>
    </row>
    <row r="2" customFormat="false" ht="15" hidden="false" customHeight="false" outlineLevel="0" collapsed="false">
      <c r="B2" s="2" t="s">
        <v>36</v>
      </c>
      <c r="C2" s="2" t="s">
        <v>2</v>
      </c>
      <c r="D2" s="2" t="s">
        <v>37</v>
      </c>
    </row>
    <row r="3" customFormat="false" ht="15" hidden="false" customHeight="false" outlineLevel="0" collapsed="false">
      <c r="B3" s="3" t="s">
        <v>5</v>
      </c>
    </row>
    <row r="4" customFormat="false" ht="15" hidden="false" customHeight="false" outlineLevel="0" collapsed="false">
      <c r="B4" s="3" t="s">
        <v>38</v>
      </c>
      <c r="C4" s="6" t="n">
        <v>339247</v>
      </c>
      <c r="D4" s="12" t="n">
        <f aca="false">IF(C$4=0,0,C4/C$4)</f>
        <v>1</v>
      </c>
    </row>
    <row r="5" customFormat="false" ht="15" hidden="false" customHeight="false" outlineLevel="0" collapsed="false">
      <c r="B5" s="3" t="s">
        <v>39</v>
      </c>
      <c r="C5" s="6" t="n">
        <v>239063</v>
      </c>
      <c r="D5" s="12" t="n">
        <f aca="false">IF(C$4=0,0,C5/C$4)</f>
        <v>0.70468714535427</v>
      </c>
    </row>
    <row r="6" customFormat="false" ht="15" hidden="false" customHeight="false" outlineLevel="0" collapsed="false">
      <c r="B6" s="3" t="s">
        <v>40</v>
      </c>
      <c r="C6" s="6" t="n">
        <v>9976</v>
      </c>
      <c r="D6" s="12" t="n">
        <f aca="false">IF(C$4=0,0,C6/C$4)</f>
        <v>0.0294063027823385</v>
      </c>
    </row>
    <row r="7" customFormat="false" ht="15" hidden="false" customHeight="false" outlineLevel="0" collapsed="false">
      <c r="B7" s="3" t="s">
        <v>41</v>
      </c>
      <c r="C7" s="6" t="n">
        <v>23442</v>
      </c>
      <c r="D7" s="12" t="n">
        <f aca="false">IF(C$4=0,0,C7/C$4)</f>
        <v>0.0691000952108641</v>
      </c>
    </row>
    <row r="8" customFormat="false" ht="15" hidden="false" customHeight="false" outlineLevel="0" collapsed="false">
      <c r="B8" s="7" t="s">
        <v>42</v>
      </c>
      <c r="C8" s="8" t="n">
        <f aca="false">C4-C5-C6-C7</f>
        <v>66766</v>
      </c>
      <c r="D8" s="13" t="n">
        <f aca="false">IF(C$4=0,0,C8/C$4)</f>
        <v>0.196806456652528</v>
      </c>
    </row>
    <row r="9" customFormat="false" ht="15" hidden="false" customHeight="false" outlineLevel="0" collapsed="false">
      <c r="D9" s="14" t="n">
        <v>0</v>
      </c>
    </row>
    <row r="10" customFormat="false" ht="15" hidden="false" customHeight="false" outlineLevel="0" collapsed="false">
      <c r="B10" s="3" t="s">
        <v>43</v>
      </c>
      <c r="C10" s="6" t="n">
        <v>4144</v>
      </c>
      <c r="D10" s="12" t="n">
        <f aca="false">IF(C$4=0,0,C10/C$4)</f>
        <v>0.0122152885655584</v>
      </c>
    </row>
    <row r="11" customFormat="false" ht="15" hidden="false" customHeight="false" outlineLevel="0" collapsed="false">
      <c r="B11" s="3" t="s">
        <v>44</v>
      </c>
      <c r="C11" s="6" t="n">
        <v>996</v>
      </c>
      <c r="D11" s="12" t="n">
        <f aca="false">IF(C$4=0,0,C11/C$4)</f>
        <v>0.00293591395060236</v>
      </c>
    </row>
    <row r="12" customFormat="false" ht="15" hidden="false" customHeight="false" outlineLevel="0" collapsed="false">
      <c r="B12" s="7" t="s">
        <v>45</v>
      </c>
      <c r="C12" s="8" t="n">
        <f aca="false">C8+C10-C11</f>
        <v>69914</v>
      </c>
      <c r="D12" s="13" t="n">
        <f aca="false">IF(C$4=0,0,C12/C$4)</f>
        <v>0.206085831267484</v>
      </c>
    </row>
    <row r="13" customFormat="false" ht="15" hidden="false" customHeight="false" outlineLevel="0" collapsed="false">
      <c r="D13" s="14"/>
    </row>
    <row r="14" customFormat="false" ht="15" hidden="false" customHeight="false" outlineLevel="0" collapsed="false">
      <c r="B14" s="3" t="s">
        <v>46</v>
      </c>
      <c r="C14" s="6" t="n">
        <v>13810</v>
      </c>
      <c r="D14" s="12" t="n">
        <f aca="false">IF(C$4=0,0,C14/C$4)</f>
        <v>0.0407078028692958</v>
      </c>
    </row>
    <row r="15" customFormat="false" ht="15" hidden="false" customHeight="false" outlineLevel="0" collapsed="false">
      <c r="B15" s="7" t="s">
        <v>47</v>
      </c>
      <c r="C15" s="8" t="n">
        <f aca="false">C12-C14</f>
        <v>56104</v>
      </c>
      <c r="D15" s="13" t="n">
        <f aca="false">IF(C$4=0,0,C15/C$4)</f>
        <v>0.165378028398188</v>
      </c>
    </row>
    <row r="16" customFormat="false" ht="15" hidden="false" customHeight="false" outlineLevel="0" collapsed="false">
      <c r="D16" s="14"/>
    </row>
    <row r="17" customFormat="false" ht="15" hidden="false" customHeight="false" outlineLevel="0" collapsed="false">
      <c r="B17" s="4" t="s">
        <v>48</v>
      </c>
      <c r="C17" s="15" t="n">
        <f aca="false">C15</f>
        <v>56104</v>
      </c>
      <c r="D17" s="14"/>
    </row>
    <row r="18" customFormat="false" ht="15" hidden="false" customHeight="false" outlineLevel="0" collapsed="false">
      <c r="B18" s="3" t="s">
        <v>49</v>
      </c>
      <c r="C18" s="6" t="n">
        <v>16700</v>
      </c>
      <c r="D18" s="12" t="n">
        <f aca="false">IF(C$4=0,0,C18/C$4)</f>
        <v>0.0492266696536742</v>
      </c>
    </row>
    <row r="19" customFormat="false" ht="15" hidden="false" customHeight="false" outlineLevel="0" collapsed="false">
      <c r="B19" s="16" t="s">
        <v>50</v>
      </c>
      <c r="C19" s="10" t="n">
        <f aca="false">C17-C18</f>
        <v>39404</v>
      </c>
      <c r="D19" s="12" t="n">
        <f aca="false">IF(C$4=0,0,C19/C$4)</f>
        <v>0.116151358744514</v>
      </c>
    </row>
    <row r="21" customFormat="false" ht="15" hidden="false" customHeight="false" outlineLevel="0" collapsed="false">
      <c r="B21" s="11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3" min="3" style="0" width="18"/>
    <col collapsed="false" customWidth="true" hidden="false" outlineLevel="0" max="4" min="4" style="0" width="22"/>
  </cols>
  <sheetData>
    <row r="1" customFormat="false" ht="15" hidden="false" customHeight="false" outlineLevel="0" collapsed="false">
      <c r="B1" s="1" t="s">
        <v>51</v>
      </c>
    </row>
    <row r="2" customFormat="false" ht="15" hidden="false" customHeight="false" outlineLevel="0" collapsed="false">
      <c r="B2" s="2" t="s">
        <v>36</v>
      </c>
      <c r="C2" s="2" t="s">
        <v>2</v>
      </c>
      <c r="D2" s="2" t="s">
        <v>52</v>
      </c>
    </row>
    <row r="3" customFormat="false" ht="15" hidden="false" customHeight="false" outlineLevel="0" collapsed="false">
      <c r="B3" s="3" t="s">
        <v>5</v>
      </c>
    </row>
    <row r="4" customFormat="false" ht="15" hidden="false" customHeight="false" outlineLevel="0" collapsed="false">
      <c r="B4" s="4" t="s">
        <v>53</v>
      </c>
    </row>
    <row r="5" customFormat="false" ht="15" hidden="false" customHeight="false" outlineLevel="0" collapsed="false">
      <c r="B5" s="3" t="s">
        <v>54</v>
      </c>
      <c r="C5" s="6" t="n">
        <f aca="false">'Income Statement'!C15</f>
        <v>56104</v>
      </c>
      <c r="D5" s="17" t="s">
        <v>55</v>
      </c>
    </row>
    <row r="6" customFormat="false" ht="15" hidden="false" customHeight="false" outlineLevel="0" collapsed="false">
      <c r="B6" s="3" t="s">
        <v>56</v>
      </c>
      <c r="C6" s="6" t="n">
        <f aca="false">'Income Statement'!C7</f>
        <v>23442</v>
      </c>
      <c r="D6" s="17" t="s">
        <v>55</v>
      </c>
    </row>
    <row r="7" customFormat="false" ht="15" hidden="false" customHeight="false" outlineLevel="0" collapsed="false">
      <c r="B7" s="3" t="s">
        <v>57</v>
      </c>
    </row>
    <row r="8" customFormat="false" ht="15" hidden="false" customHeight="false" outlineLevel="0" collapsed="false">
      <c r="B8" s="3" t="s">
        <v>58</v>
      </c>
      <c r="C8" s="6" t="n">
        <v>-5666</v>
      </c>
      <c r="D8" s="17" t="s">
        <v>59</v>
      </c>
    </row>
    <row r="9" customFormat="false" ht="15" hidden="false" customHeight="false" outlineLevel="0" collapsed="false">
      <c r="B9" s="3" t="s">
        <v>60</v>
      </c>
      <c r="C9" s="6" t="n">
        <v>5553</v>
      </c>
      <c r="D9" s="17" t="s">
        <v>59</v>
      </c>
    </row>
    <row r="10" customFormat="false" ht="15" hidden="false" customHeight="false" outlineLevel="0" collapsed="false">
      <c r="B10" s="3" t="s">
        <v>61</v>
      </c>
      <c r="C10" s="6" t="n">
        <v>-2778</v>
      </c>
      <c r="D10" s="17" t="s">
        <v>59</v>
      </c>
    </row>
    <row r="11" customFormat="false" ht="15" hidden="false" customHeight="false" outlineLevel="0" collapsed="false">
      <c r="B11" s="3" t="s">
        <v>62</v>
      </c>
      <c r="C11" s="6" t="n">
        <v>4126</v>
      </c>
      <c r="D11" s="17" t="s">
        <v>59</v>
      </c>
    </row>
    <row r="12" customFormat="false" ht="15" hidden="false" customHeight="false" outlineLevel="0" collapsed="false">
      <c r="B12" s="3" t="s">
        <v>63</v>
      </c>
      <c r="C12" s="6" t="n">
        <v>-3267</v>
      </c>
      <c r="D12" s="17" t="s">
        <v>59</v>
      </c>
    </row>
    <row r="13" customFormat="false" ht="15" hidden="false" customHeight="false" outlineLevel="0" collapsed="false">
      <c r="B13" s="7" t="s">
        <v>64</v>
      </c>
      <c r="C13" s="8" t="n">
        <f aca="false">C8+C9+C10+C11+C12</f>
        <v>-2032</v>
      </c>
    </row>
    <row r="14" customFormat="false" ht="15" hidden="false" customHeight="false" outlineLevel="0" collapsed="false">
      <c r="B14" s="7" t="s">
        <v>65</v>
      </c>
      <c r="C14" s="8" t="n">
        <f aca="false">C5+C6+C13</f>
        <v>77514</v>
      </c>
    </row>
    <row r="16" customFormat="false" ht="15" hidden="false" customHeight="false" outlineLevel="0" collapsed="false">
      <c r="B16" s="4" t="s">
        <v>66</v>
      </c>
    </row>
    <row r="17" customFormat="false" ht="15" hidden="false" customHeight="false" outlineLevel="0" collapsed="false">
      <c r="B17" s="3" t="s">
        <v>67</v>
      </c>
      <c r="C17" s="6" t="n">
        <v>-24306</v>
      </c>
    </row>
    <row r="18" customFormat="false" ht="15" hidden="false" customHeight="false" outlineLevel="0" collapsed="false">
      <c r="B18" s="3" t="s">
        <v>68</v>
      </c>
      <c r="C18" s="6" t="n">
        <v>-3299</v>
      </c>
    </row>
    <row r="19" customFormat="false" ht="15" hidden="false" customHeight="false" outlineLevel="0" collapsed="false">
      <c r="B19" s="3" t="s">
        <v>69</v>
      </c>
      <c r="C19" s="6" t="n">
        <v>4987</v>
      </c>
    </row>
    <row r="20" customFormat="false" ht="15" hidden="false" customHeight="false" outlineLevel="0" collapsed="false">
      <c r="B20" s="7" t="s">
        <v>70</v>
      </c>
      <c r="C20" s="8" t="n">
        <f aca="false">C17+C18+C19</f>
        <v>-22618</v>
      </c>
    </row>
    <row r="22" customFormat="false" ht="15" hidden="false" customHeight="false" outlineLevel="0" collapsed="false">
      <c r="B22" s="4" t="s">
        <v>71</v>
      </c>
    </row>
    <row r="23" customFormat="false" ht="15" hidden="false" customHeight="false" outlineLevel="0" collapsed="false">
      <c r="B23" s="3" t="s">
        <v>72</v>
      </c>
      <c r="C23" s="6" t="n">
        <v>2245</v>
      </c>
    </row>
    <row r="24" customFormat="false" ht="15" hidden="false" customHeight="false" outlineLevel="0" collapsed="false">
      <c r="B24" s="3" t="s">
        <v>73</v>
      </c>
      <c r="C24" s="6" t="n">
        <v>-2118</v>
      </c>
    </row>
    <row r="25" customFormat="false" ht="15" hidden="false" customHeight="false" outlineLevel="0" collapsed="false">
      <c r="B25" s="3" t="s">
        <v>74</v>
      </c>
      <c r="C25" s="6" t="n">
        <v>-16700</v>
      </c>
    </row>
    <row r="26" customFormat="false" ht="15" hidden="false" customHeight="false" outlineLevel="0" collapsed="false">
      <c r="B26" s="3" t="s">
        <v>75</v>
      </c>
      <c r="C26" s="6" t="n">
        <v>-19300</v>
      </c>
    </row>
    <row r="27" customFormat="false" ht="15" hidden="false" customHeight="false" outlineLevel="0" collapsed="false">
      <c r="B27" s="3" t="s">
        <v>76</v>
      </c>
      <c r="C27" s="6" t="n">
        <v>-3627</v>
      </c>
    </row>
    <row r="28" customFormat="false" ht="15" hidden="false" customHeight="false" outlineLevel="0" collapsed="false">
      <c r="B28" s="7" t="s">
        <v>77</v>
      </c>
      <c r="C28" s="8" t="n">
        <f aca="false">C23+C24+C25+C26+C27</f>
        <v>-39500</v>
      </c>
    </row>
    <row r="30" customFormat="false" ht="15" hidden="false" customHeight="false" outlineLevel="0" collapsed="false">
      <c r="B30" s="7" t="s">
        <v>78</v>
      </c>
      <c r="C30" s="8" t="n">
        <f aca="false">C14+C20+C28</f>
        <v>15396</v>
      </c>
    </row>
    <row r="32" customFormat="false" ht="15" hidden="false" customHeight="false" outlineLevel="0" collapsed="false">
      <c r="B32" s="11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28"/>
    <col collapsed="false" customWidth="true" hidden="false" outlineLevel="0" max="4" min="4" style="0" width="52"/>
    <col collapsed="false" customWidth="true" hidden="false" outlineLevel="0" max="5" min="5" style="0" width="28"/>
  </cols>
  <sheetData>
    <row r="1" customFormat="false" ht="15" hidden="false" customHeight="false" outlineLevel="0" collapsed="false">
      <c r="B1" s="1" t="s">
        <v>79</v>
      </c>
    </row>
    <row r="2" customFormat="false" ht="15" hidden="false" customHeight="false" outlineLevel="0" collapsed="false">
      <c r="B2" s="2" t="s">
        <v>80</v>
      </c>
      <c r="C2" s="2" t="s">
        <v>81</v>
      </c>
      <c r="D2" s="2" t="s">
        <v>82</v>
      </c>
      <c r="E2" s="2" t="s">
        <v>83</v>
      </c>
    </row>
    <row r="3" customFormat="false" ht="15" hidden="false" customHeight="false" outlineLevel="0" collapsed="false">
      <c r="B3" s="3" t="s">
        <v>84</v>
      </c>
      <c r="C3" s="18" t="n">
        <v>2024</v>
      </c>
      <c r="E3" s="19" t="s">
        <v>85</v>
      </c>
    </row>
    <row r="4" customFormat="false" ht="15" hidden="false" customHeight="false" outlineLevel="0" collapsed="false">
      <c r="B4" s="3" t="s">
        <v>86</v>
      </c>
      <c r="C4" s="18" t="n">
        <v>2023</v>
      </c>
      <c r="D4" s="17" t="s">
        <v>87</v>
      </c>
      <c r="E4" s="19" t="s">
        <v>88</v>
      </c>
    </row>
    <row r="5" customFormat="false" ht="15" hidden="false" customHeight="false" outlineLevel="0" collapsed="false">
      <c r="B5" s="3" t="s">
        <v>89</v>
      </c>
      <c r="C5" s="20" t="n">
        <v>103.76</v>
      </c>
      <c r="E5" s="19" t="s">
        <v>90</v>
      </c>
    </row>
    <row r="6" customFormat="false" ht="15" hidden="false" customHeight="false" outlineLevel="0" collapsed="false">
      <c r="B6" s="3" t="s">
        <v>91</v>
      </c>
      <c r="C6" s="18" t="n">
        <v>4298</v>
      </c>
      <c r="E6" s="19" t="s">
        <v>92</v>
      </c>
    </row>
    <row r="7" customFormat="false" ht="15" hidden="false" customHeight="false" outlineLevel="0" collapsed="false">
      <c r="B7" s="3" t="s">
        <v>93</v>
      </c>
      <c r="C7" s="21" t="n">
        <v>0.09</v>
      </c>
      <c r="E7" s="19" t="s">
        <v>94</v>
      </c>
    </row>
    <row r="8" customFormat="false" ht="15" hidden="false" customHeight="false" outlineLevel="0" collapsed="false">
      <c r="B8" s="3" t="s">
        <v>95</v>
      </c>
      <c r="C8" s="21" t="n">
        <v>0.2826</v>
      </c>
      <c r="E8" s="19" t="s">
        <v>96</v>
      </c>
    </row>
    <row r="9" customFormat="false" ht="15" hidden="false" customHeight="false" outlineLevel="0" collapsed="false">
      <c r="B9" s="3" t="s">
        <v>97</v>
      </c>
      <c r="C9" s="22" t="n">
        <f aca="false">C5*C6</f>
        <v>445960.48</v>
      </c>
      <c r="D9" s="17" t="s">
        <v>98</v>
      </c>
      <c r="E9" s="19" t="s">
        <v>99</v>
      </c>
    </row>
    <row r="11" customFormat="false" ht="15" hidden="false" customHeight="false" outlineLevel="0" collapsed="false">
      <c r="B11" s="4" t="s">
        <v>100</v>
      </c>
      <c r="C11" s="5"/>
    </row>
    <row r="12" customFormat="false" ht="15" hidden="false" customHeight="false" outlineLevel="0" collapsed="false">
      <c r="B12" s="3" t="s">
        <v>101</v>
      </c>
      <c r="C12" s="22" t="n">
        <f aca="false">'Balance Sheet'!H19</f>
        <v>212538</v>
      </c>
      <c r="D12" s="17" t="s">
        <v>102</v>
      </c>
      <c r="E12" s="19" t="s">
        <v>103</v>
      </c>
    </row>
    <row r="13" customFormat="false" ht="15" hidden="false" customHeight="false" outlineLevel="0" collapsed="false">
      <c r="B13" s="3" t="s">
        <v>104</v>
      </c>
      <c r="C13" s="22" t="n">
        <f aca="false">'Balance Sheet'!D7</f>
        <v>25120</v>
      </c>
      <c r="D13" s="17" t="s">
        <v>105</v>
      </c>
      <c r="E13" s="19" t="s">
        <v>106</v>
      </c>
    </row>
    <row r="14" customFormat="false" ht="15" hidden="false" customHeight="false" outlineLevel="0" collapsed="false">
      <c r="B14" s="3" t="s">
        <v>107</v>
      </c>
      <c r="C14" s="22" t="n">
        <f aca="false">'Balance Sheet'!D6</f>
        <v>38015</v>
      </c>
      <c r="D14" s="17" t="s">
        <v>108</v>
      </c>
      <c r="E14" s="19" t="s">
        <v>109</v>
      </c>
    </row>
    <row r="15" customFormat="false" ht="15" hidden="false" customHeight="false" outlineLevel="0" collapsed="false">
      <c r="B15" s="3" t="s">
        <v>110</v>
      </c>
      <c r="C15" s="22" t="n">
        <f aca="false">'Balance Sheet'!D20</f>
        <v>376317</v>
      </c>
      <c r="D15" s="17" t="s">
        <v>111</v>
      </c>
      <c r="E15" s="19" t="s">
        <v>112</v>
      </c>
    </row>
    <row r="16" customFormat="false" ht="15" hidden="false" customHeight="false" outlineLevel="0" collapsed="false">
      <c r="B16" s="3" t="s">
        <v>113</v>
      </c>
      <c r="C16" s="22" t="n">
        <f aca="false">'Balance Sheet'!H10+'Balance Sheet'!H19</f>
        <v>250021</v>
      </c>
      <c r="D16" s="17" t="s">
        <v>114</v>
      </c>
      <c r="E16" s="19" t="s">
        <v>115</v>
      </c>
    </row>
    <row r="18" customFormat="false" ht="15" hidden="false" customHeight="false" outlineLevel="0" collapsed="false">
      <c r="B18" s="4" t="s">
        <v>116</v>
      </c>
      <c r="C18" s="5"/>
    </row>
    <row r="19" customFormat="false" ht="15" hidden="false" customHeight="false" outlineLevel="0" collapsed="false">
      <c r="B19" s="3" t="s">
        <v>117</v>
      </c>
      <c r="C19" s="22" t="n">
        <f aca="false">'Income Statement'!C8+(1-C8)*'Income Statement'!C11</f>
        <v>67480.5304</v>
      </c>
      <c r="D19" s="17" t="s">
        <v>118</v>
      </c>
      <c r="E19" s="19" t="s">
        <v>119</v>
      </c>
    </row>
    <row r="20" customFormat="false" ht="15" hidden="false" customHeight="false" outlineLevel="0" collapsed="false">
      <c r="B20" s="3" t="s">
        <v>120</v>
      </c>
      <c r="C20" s="22" t="n">
        <f aca="false">'Income Statement'!C4/365</f>
        <v>929.443835616438</v>
      </c>
      <c r="D20" s="17" t="s">
        <v>121</v>
      </c>
      <c r="E20" s="19" t="s">
        <v>122</v>
      </c>
    </row>
    <row r="21" customFormat="false" ht="15" hidden="false" customHeight="false" outlineLevel="0" collapsed="false">
      <c r="B21" s="3" t="s">
        <v>123</v>
      </c>
      <c r="C21" s="22" t="n">
        <f aca="false">'Balance Sheet'!G19</f>
        <v>277087</v>
      </c>
      <c r="D21" s="17" t="s">
        <v>124</v>
      </c>
      <c r="E21" s="19" t="s">
        <v>125</v>
      </c>
    </row>
    <row r="22" customFormat="false" ht="15" hidden="false" customHeight="false" outlineLevel="0" collapsed="false">
      <c r="B22" s="3" t="s">
        <v>126</v>
      </c>
      <c r="C22" s="22" t="n">
        <f aca="false">'Balance Sheet'!C5</f>
        <v>23029</v>
      </c>
      <c r="D22" s="17" t="s">
        <v>127</v>
      </c>
      <c r="E22" s="19" t="s">
        <v>128</v>
      </c>
    </row>
    <row r="23" customFormat="false" ht="15" hidden="false" customHeight="false" outlineLevel="0" collapsed="false">
      <c r="B23" s="3" t="s">
        <v>129</v>
      </c>
      <c r="C23" s="22" t="n">
        <f aca="false">'Balance Sheet'!C9</f>
        <v>90990</v>
      </c>
      <c r="D23" s="17" t="s">
        <v>130</v>
      </c>
      <c r="E23" s="19" t="s">
        <v>131</v>
      </c>
    </row>
    <row r="24" customFormat="false" ht="15" hidden="false" customHeight="false" outlineLevel="0" collapsed="false">
      <c r="B24" s="3" t="s">
        <v>132</v>
      </c>
      <c r="C24" s="22" t="n">
        <f aca="false">'Balance Sheet'!G8</f>
        <v>72330</v>
      </c>
      <c r="D24" s="17" t="s">
        <v>133</v>
      </c>
      <c r="E24" s="19" t="s">
        <v>134</v>
      </c>
    </row>
    <row r="25" customFormat="false" ht="15" hidden="false" customHeight="false" outlineLevel="0" collapsed="false">
      <c r="B25" s="3" t="s">
        <v>135</v>
      </c>
      <c r="C25" s="22" t="n">
        <f aca="false">'Income Statement'!C5/365</f>
        <v>654.967123287671</v>
      </c>
      <c r="D25" s="17" t="s">
        <v>136</v>
      </c>
      <c r="E25" s="19" t="s">
        <v>137</v>
      </c>
    </row>
    <row r="26" customFormat="false" ht="15" hidden="false" customHeight="false" outlineLevel="0" collapsed="false">
      <c r="B26" s="3" t="s">
        <v>138</v>
      </c>
      <c r="C26" s="22" t="n">
        <f aca="false">'Balance Sheet'!G10</f>
        <v>35365</v>
      </c>
      <c r="D26" s="17" t="s">
        <v>139</v>
      </c>
      <c r="E26" s="19" t="s">
        <v>140</v>
      </c>
    </row>
    <row r="27" customFormat="false" ht="15" hidden="false" customHeight="false" outlineLevel="0" collapsed="false">
      <c r="B27" s="3" t="s">
        <v>141</v>
      </c>
      <c r="C27" s="22" t="n">
        <f aca="false">'Balance Sheet'!C9-'Balance Sheet'!G8</f>
        <v>18660</v>
      </c>
      <c r="D27" s="17" t="s">
        <v>142</v>
      </c>
      <c r="E27" s="19" t="s">
        <v>143</v>
      </c>
    </row>
    <row r="28" customFormat="false" ht="15" hidden="false" customHeight="false" outlineLevel="0" collapsed="false">
      <c r="B28" s="3" t="s">
        <v>144</v>
      </c>
      <c r="C28" s="22" t="n">
        <f aca="false">'Balance Sheet'!C20</f>
        <v>453475</v>
      </c>
      <c r="D28" s="17" t="s">
        <v>145</v>
      </c>
      <c r="E28" s="19" t="s">
        <v>146</v>
      </c>
    </row>
    <row r="29" customFormat="false" ht="15" hidden="false" customHeight="false" outlineLevel="0" collapsed="false">
      <c r="B29" s="3" t="s">
        <v>147</v>
      </c>
      <c r="C29" s="22" t="n">
        <f aca="false">'Balance Sheet'!G10+'Balance Sheet'!G19</f>
        <v>312452</v>
      </c>
      <c r="D29" s="17" t="s">
        <v>148</v>
      </c>
      <c r="E29" s="19" t="s">
        <v>149</v>
      </c>
    </row>
    <row r="30" customFormat="false" ht="15" hidden="false" customHeight="false" outlineLevel="0" collapsed="false">
      <c r="B30" s="3" t="s">
        <v>150</v>
      </c>
      <c r="C30" s="22" t="n">
        <f aca="false">'Balance Sheet'!G13</f>
        <v>183502</v>
      </c>
      <c r="D30" s="17" t="s">
        <v>151</v>
      </c>
      <c r="E30" s="19" t="s">
        <v>152</v>
      </c>
    </row>
    <row r="32" customFormat="false" ht="15" hidden="false" customHeight="false" outlineLevel="0" collapsed="false">
      <c r="B32" s="4" t="s">
        <v>153</v>
      </c>
      <c r="C32" s="5"/>
    </row>
    <row r="33" customFormat="false" ht="15" hidden="false" customHeight="false" outlineLevel="0" collapsed="false">
      <c r="B33" s="3" t="s">
        <v>154</v>
      </c>
      <c r="C33" s="22" t="n">
        <f aca="false">AVERAGE(C12,C21)</f>
        <v>244812.5</v>
      </c>
      <c r="D33" s="17" t="s">
        <v>155</v>
      </c>
      <c r="E33" s="19" t="s">
        <v>156</v>
      </c>
    </row>
    <row r="34" customFormat="false" ht="15" hidden="false" customHeight="false" outlineLevel="0" collapsed="false">
      <c r="B34" s="3" t="s">
        <v>157</v>
      </c>
      <c r="C34" s="22" t="n">
        <f aca="false">AVERAGE(C15,C28)</f>
        <v>414896</v>
      </c>
      <c r="D34" s="17" t="s">
        <v>158</v>
      </c>
      <c r="E34" s="19" t="s">
        <v>159</v>
      </c>
    </row>
    <row r="35" customFormat="false" ht="15" hidden="false" customHeight="false" outlineLevel="0" collapsed="false">
      <c r="B35" s="3" t="s">
        <v>160</v>
      </c>
      <c r="C35" s="22" t="n">
        <f aca="false">AVERAGE(C16,C29)</f>
        <v>281236.5</v>
      </c>
      <c r="D35" s="17" t="s">
        <v>161</v>
      </c>
      <c r="E35" s="19" t="s">
        <v>162</v>
      </c>
    </row>
    <row r="36" customFormat="false" ht="15" hidden="false" customHeight="false" outlineLevel="0" collapsed="false">
      <c r="B36" s="3" t="s">
        <v>163</v>
      </c>
      <c r="C36" s="22" t="n">
        <f aca="false">C26+C21</f>
        <v>312452</v>
      </c>
      <c r="D36" s="17" t="s">
        <v>164</v>
      </c>
      <c r="E36" s="19" t="s">
        <v>165</v>
      </c>
    </row>
    <row r="39" customFormat="false" ht="15" hidden="false" customHeight="false" outlineLevel="0" collapsed="false">
      <c r="B39" s="2" t="s">
        <v>166</v>
      </c>
      <c r="C39" s="2" t="s">
        <v>167</v>
      </c>
      <c r="D39" s="2" t="s">
        <v>168</v>
      </c>
      <c r="E39" s="2" t="s">
        <v>83</v>
      </c>
    </row>
    <row r="40" customFormat="false" ht="15" hidden="false" customHeight="false" outlineLevel="0" collapsed="false">
      <c r="B40" s="4" t="s">
        <v>169</v>
      </c>
      <c r="C40" s="5"/>
    </row>
    <row r="41" customFormat="false" ht="15" hidden="false" customHeight="false" outlineLevel="0" collapsed="false">
      <c r="B41" s="3" t="s">
        <v>170</v>
      </c>
      <c r="C41" s="23" t="n">
        <f aca="false">C9-C21</f>
        <v>168873.48</v>
      </c>
      <c r="D41" s="17" t="s">
        <v>171</v>
      </c>
    </row>
    <row r="42" customFormat="false" ht="15" hidden="false" customHeight="false" outlineLevel="0" collapsed="false">
      <c r="B42" s="3" t="s">
        <v>172</v>
      </c>
      <c r="C42" s="23" t="n">
        <f aca="false">C9/C21</f>
        <v>1.60946013345989</v>
      </c>
      <c r="D42" s="17" t="s">
        <v>173</v>
      </c>
    </row>
    <row r="43" customFormat="false" ht="15" hidden="false" customHeight="false" outlineLevel="0" collapsed="false">
      <c r="B43" s="3" t="s">
        <v>174</v>
      </c>
      <c r="C43" s="23" t="n">
        <f aca="false">C19-(C7*C16)</f>
        <v>44978.6404</v>
      </c>
      <c r="D43" s="17" t="s">
        <v>175</v>
      </c>
    </row>
    <row r="45" customFormat="false" ht="15" hidden="false" customHeight="false" outlineLevel="0" collapsed="false">
      <c r="B45" s="4" t="s">
        <v>176</v>
      </c>
      <c r="C45" s="5"/>
    </row>
    <row r="46" customFormat="false" ht="15" hidden="false" customHeight="false" outlineLevel="0" collapsed="false">
      <c r="B46" s="3" t="s">
        <v>177</v>
      </c>
      <c r="C46" s="23" t="n">
        <f aca="false">C19/C15</f>
        <v>0.179318315143881</v>
      </c>
      <c r="D46" s="17" t="s">
        <v>178</v>
      </c>
    </row>
    <row r="47" customFormat="false" ht="15" hidden="false" customHeight="false" outlineLevel="0" collapsed="false">
      <c r="B47" s="3" t="s">
        <v>179</v>
      </c>
      <c r="C47" s="23" t="n">
        <f aca="false">C19/C16</f>
        <v>0.269899450046196</v>
      </c>
      <c r="D47" s="17" t="s">
        <v>180</v>
      </c>
    </row>
    <row r="48" customFormat="false" ht="15" hidden="false" customHeight="false" outlineLevel="0" collapsed="false">
      <c r="B48" s="3" t="s">
        <v>181</v>
      </c>
      <c r="C48" s="23" t="n">
        <f aca="false">'Income Statement'!C15/C12</f>
        <v>0.263971619192803</v>
      </c>
      <c r="D48" s="17" t="s">
        <v>182</v>
      </c>
    </row>
    <row r="49" customFormat="false" ht="15" hidden="false" customHeight="false" outlineLevel="0" collapsed="false">
      <c r="B49" s="3" t="s">
        <v>183</v>
      </c>
      <c r="C49" s="23" t="n">
        <f aca="false">C19/C34</f>
        <v>0.162644446801126</v>
      </c>
      <c r="D49" s="17" t="s">
        <v>184</v>
      </c>
    </row>
    <row r="50" customFormat="false" ht="15" hidden="false" customHeight="false" outlineLevel="0" collapsed="false">
      <c r="B50" s="3" t="s">
        <v>185</v>
      </c>
      <c r="C50" s="23" t="n">
        <f aca="false">C19/C35</f>
        <v>0.239942291985571</v>
      </c>
      <c r="D50" s="17" t="s">
        <v>186</v>
      </c>
    </row>
    <row r="51" customFormat="false" ht="15" hidden="false" customHeight="false" outlineLevel="0" collapsed="false">
      <c r="B51" s="3" t="s">
        <v>187</v>
      </c>
      <c r="C51" s="23" t="n">
        <f aca="false">'Income Statement'!C15/C33</f>
        <v>0.229171304569824</v>
      </c>
      <c r="D51" s="17" t="s">
        <v>188</v>
      </c>
    </row>
    <row r="53" customFormat="false" ht="15" hidden="false" customHeight="false" outlineLevel="0" collapsed="false">
      <c r="B53" s="4" t="s">
        <v>189</v>
      </c>
      <c r="C53" s="5"/>
    </row>
    <row r="54" customFormat="false" ht="15" hidden="false" customHeight="false" outlineLevel="0" collapsed="false">
      <c r="B54" s="3" t="s">
        <v>190</v>
      </c>
      <c r="C54" s="23" t="n">
        <f aca="false">'Income Statement'!C4/C15</f>
        <v>0.90149262456918</v>
      </c>
      <c r="D54" s="17" t="s">
        <v>191</v>
      </c>
      <c r="E54" s="19" t="s">
        <v>192</v>
      </c>
    </row>
    <row r="55" customFormat="false" ht="15" hidden="false" customHeight="false" outlineLevel="0" collapsed="false">
      <c r="B55" s="3" t="s">
        <v>193</v>
      </c>
      <c r="C55" s="23" t="n">
        <f aca="false">'Income Statement'!C4/C14</f>
        <v>8.92402998816257</v>
      </c>
      <c r="D55" s="17" t="s">
        <v>194</v>
      </c>
    </row>
    <row r="56" customFormat="false" ht="15" hidden="false" customHeight="false" outlineLevel="0" collapsed="false">
      <c r="B56" s="3" t="s">
        <v>195</v>
      </c>
      <c r="C56" s="23" t="n">
        <f aca="false">C14/C20</f>
        <v>40.9008038390907</v>
      </c>
      <c r="D56" s="17" t="s">
        <v>196</v>
      </c>
    </row>
    <row r="57" customFormat="false" ht="15" hidden="false" customHeight="false" outlineLevel="0" collapsed="false">
      <c r="B57" s="3" t="s">
        <v>197</v>
      </c>
      <c r="C57" s="23" t="n">
        <f aca="false">'Income Statement'!C5/C13</f>
        <v>9.51683917197452</v>
      </c>
      <c r="D57" s="17" t="s">
        <v>198</v>
      </c>
    </row>
    <row r="58" customFormat="false" ht="15" hidden="false" customHeight="false" outlineLevel="0" collapsed="false">
      <c r="B58" s="3" t="s">
        <v>199</v>
      </c>
      <c r="C58" s="23" t="n">
        <f aca="false">C13/C25</f>
        <v>38.3530701112259</v>
      </c>
      <c r="D58" s="17" t="s">
        <v>200</v>
      </c>
    </row>
    <row r="59" customFormat="false" ht="15" hidden="false" customHeight="false" outlineLevel="0" collapsed="false">
      <c r="B59" s="3" t="s">
        <v>201</v>
      </c>
      <c r="C59" s="23" t="n">
        <f aca="false">'Income Statement'!C15/'Income Statement'!C4</f>
        <v>0.165378028398188</v>
      </c>
      <c r="D59" s="17" t="s">
        <v>202</v>
      </c>
    </row>
    <row r="60" customFormat="false" ht="15" hidden="false" customHeight="false" outlineLevel="0" collapsed="false">
      <c r="B60" s="3" t="s">
        <v>203</v>
      </c>
      <c r="C60" s="23" t="n">
        <f aca="false">C19/'Income Statement'!C4</f>
        <v>0.19891268132069</v>
      </c>
      <c r="D60" s="17" t="s">
        <v>204</v>
      </c>
      <c r="E60" s="19" t="s">
        <v>205</v>
      </c>
    </row>
    <row r="62" customFormat="false" ht="15" hidden="false" customHeight="false" outlineLevel="0" collapsed="false">
      <c r="B62" s="4" t="s">
        <v>206</v>
      </c>
      <c r="C62" s="5"/>
    </row>
    <row r="63" customFormat="false" ht="15" hidden="false" customHeight="false" outlineLevel="0" collapsed="false">
      <c r="B63" s="3" t="s">
        <v>207</v>
      </c>
      <c r="C63" s="23" t="n">
        <f aca="false">C26/(C26+C21)</f>
        <v>0.113185385275178</v>
      </c>
      <c r="D63" s="17" t="s">
        <v>208</v>
      </c>
    </row>
    <row r="64" customFormat="false" ht="15" hidden="false" customHeight="false" outlineLevel="0" collapsed="false">
      <c r="B64" s="3" t="s">
        <v>209</v>
      </c>
      <c r="C64" s="23" t="n">
        <f aca="false">C26/C21</f>
        <v>0.127631393749977</v>
      </c>
      <c r="D64" s="17" t="s">
        <v>210</v>
      </c>
    </row>
    <row r="65" customFormat="false" ht="15" hidden="false" customHeight="false" outlineLevel="0" collapsed="false">
      <c r="B65" s="3" t="s">
        <v>211</v>
      </c>
      <c r="C65" s="23" t="n">
        <f aca="false">C30/C28</f>
        <v>0.40465736810188</v>
      </c>
      <c r="D65" s="17" t="s">
        <v>212</v>
      </c>
    </row>
    <row r="66" customFormat="false" ht="15" hidden="false" customHeight="false" outlineLevel="0" collapsed="false">
      <c r="B66" s="3" t="s">
        <v>213</v>
      </c>
      <c r="C66" s="23" t="n">
        <f aca="false">'Income Statement'!C8/'Income Statement'!C11</f>
        <v>67.0341365461847</v>
      </c>
      <c r="D66" s="17" t="s">
        <v>214</v>
      </c>
    </row>
    <row r="67" customFormat="false" ht="15" hidden="false" customHeight="false" outlineLevel="0" collapsed="false">
      <c r="B67" s="3" t="s">
        <v>215</v>
      </c>
      <c r="C67" s="23" t="n">
        <f aca="false">('Income Statement'!C8+'Income Statement'!C7)/'Income Statement'!C11</f>
        <v>90.570281124498</v>
      </c>
      <c r="D67" s="17" t="s">
        <v>216</v>
      </c>
    </row>
    <row r="68" customFormat="false" ht="15" hidden="false" customHeight="false" outlineLevel="0" collapsed="false">
      <c r="B68" s="3" t="s">
        <v>217</v>
      </c>
      <c r="C68" s="23" t="n">
        <f aca="false">'Income Statement'!C15/C19</f>
        <v>0.831410181091286</v>
      </c>
      <c r="D68" s="17" t="s">
        <v>218</v>
      </c>
      <c r="E68" s="19" t="s">
        <v>219</v>
      </c>
    </row>
    <row r="69" customFormat="false" ht="15" hidden="false" customHeight="false" outlineLevel="0" collapsed="false">
      <c r="B69" s="3" t="s">
        <v>220</v>
      </c>
      <c r="C69" s="23" t="n">
        <f aca="false">C28/C21</f>
        <v>1.63657984676293</v>
      </c>
      <c r="D69" s="17" t="s">
        <v>221</v>
      </c>
      <c r="E69" s="19" t="s">
        <v>222</v>
      </c>
    </row>
    <row r="71" customFormat="false" ht="15" hidden="false" customHeight="false" outlineLevel="0" collapsed="false">
      <c r="B71" s="4" t="s">
        <v>223</v>
      </c>
      <c r="C71" s="5"/>
    </row>
    <row r="72" customFormat="false" ht="15" hidden="false" customHeight="false" outlineLevel="0" collapsed="false">
      <c r="B72" s="3" t="s">
        <v>224</v>
      </c>
      <c r="C72" s="23" t="n">
        <f aca="false">C27/C28</f>
        <v>0.0411489056728596</v>
      </c>
      <c r="D72" s="17" t="s">
        <v>225</v>
      </c>
    </row>
    <row r="73" customFormat="false" ht="15" hidden="false" customHeight="false" outlineLevel="0" collapsed="false">
      <c r="B73" s="3" t="s">
        <v>226</v>
      </c>
      <c r="C73" s="23" t="n">
        <f aca="false">C23/C24</f>
        <v>1.25798423890502</v>
      </c>
      <c r="D73" s="17" t="s">
        <v>227</v>
      </c>
    </row>
    <row r="74" customFormat="false" ht="15" hidden="false" customHeight="false" outlineLevel="0" collapsed="false">
      <c r="B74" s="3" t="s">
        <v>228</v>
      </c>
      <c r="C74" s="23" t="n">
        <f aca="false">(C22+'Balance Sheet'!C6)/C24</f>
        <v>0.922300566846399</v>
      </c>
      <c r="D74" s="17" t="s">
        <v>229</v>
      </c>
    </row>
    <row r="75" customFormat="false" ht="15" hidden="false" customHeight="false" outlineLevel="0" collapsed="false">
      <c r="B75" s="3" t="s">
        <v>230</v>
      </c>
      <c r="C75" s="23" t="n">
        <f aca="false">C22/C24</f>
        <v>0.318387944144891</v>
      </c>
      <c r="D75" s="17" t="s">
        <v>231</v>
      </c>
    </row>
    <row r="77" customFormat="false" ht="15" hidden="false" customHeight="false" outlineLevel="0" collapsed="false">
      <c r="B77" s="4" t="s">
        <v>232</v>
      </c>
      <c r="C77" s="5"/>
    </row>
    <row r="78" customFormat="false" ht="15" hidden="false" customHeight="false" outlineLevel="0" collapsed="false">
      <c r="B78" s="3" t="s">
        <v>233</v>
      </c>
      <c r="C78" s="23" t="n">
        <f aca="false">C54*C60</f>
        <v>0.179318315143881</v>
      </c>
      <c r="D78" s="17" t="s">
        <v>234</v>
      </c>
    </row>
    <row r="79" customFormat="false" ht="15" hidden="false" customHeight="false" outlineLevel="0" collapsed="false">
      <c r="B79" s="3" t="s">
        <v>235</v>
      </c>
      <c r="D79" s="17" t="s">
        <v>236</v>
      </c>
      <c r="E79" s="19" t="s">
        <v>192</v>
      </c>
    </row>
    <row r="80" customFormat="false" ht="15" hidden="false" customHeight="false" outlineLevel="0" collapsed="false">
      <c r="B80" s="3" t="s">
        <v>237</v>
      </c>
      <c r="D80" s="17" t="s">
        <v>236</v>
      </c>
      <c r="E80" s="19" t="s">
        <v>205</v>
      </c>
    </row>
    <row r="82" customFormat="false" ht="15" hidden="false" customHeight="false" outlineLevel="0" collapsed="false">
      <c r="B82" s="3" t="s">
        <v>238</v>
      </c>
      <c r="C82" s="23" t="n">
        <f aca="false">C69*C54*C60*C68</f>
        <v>0.243992898866614</v>
      </c>
      <c r="D82" s="17" t="s">
        <v>239</v>
      </c>
    </row>
    <row r="83" customFormat="false" ht="15" hidden="false" customHeight="false" outlineLevel="0" collapsed="false">
      <c r="B83" s="3" t="s">
        <v>240</v>
      </c>
      <c r="D83" s="17" t="s">
        <v>241</v>
      </c>
      <c r="E83" s="19" t="s">
        <v>222</v>
      </c>
    </row>
    <row r="84" customFormat="false" ht="15" hidden="false" customHeight="false" outlineLevel="0" collapsed="false">
      <c r="B84" s="3" t="s">
        <v>235</v>
      </c>
      <c r="D84" s="17" t="s">
        <v>236</v>
      </c>
      <c r="E84" s="19" t="s">
        <v>192</v>
      </c>
    </row>
    <row r="85" customFormat="false" ht="15" hidden="false" customHeight="false" outlineLevel="0" collapsed="false">
      <c r="B85" s="3" t="s">
        <v>237</v>
      </c>
      <c r="D85" s="17" t="s">
        <v>236</v>
      </c>
      <c r="E85" s="19" t="s">
        <v>205</v>
      </c>
    </row>
    <row r="86" customFormat="false" ht="15" hidden="false" customHeight="false" outlineLevel="0" collapsed="false">
      <c r="B86" s="3" t="s">
        <v>242</v>
      </c>
      <c r="D86" s="17" t="s">
        <v>241</v>
      </c>
      <c r="E86" s="19" t="s">
        <v>219</v>
      </c>
    </row>
    <row r="89" customFormat="false" ht="15" hidden="false" customHeight="false" outlineLevel="0" collapsed="false">
      <c r="B89" s="24" t="s">
        <v>243</v>
      </c>
      <c r="C89" s="25" t="s">
        <v>244</v>
      </c>
      <c r="D89" s="26" t="s">
        <v>245</v>
      </c>
      <c r="E89" s="27" t="s">
        <v>246</v>
      </c>
    </row>
    <row r="90" customFormat="false" ht="15" hidden="false" customHeight="false" outlineLevel="0" collapsed="false">
      <c r="B90" s="11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0"/>
    <col collapsed="false" customWidth="true" hidden="false" outlineLevel="0" max="3" min="3" style="0" width="55"/>
  </cols>
  <sheetData>
    <row r="1" customFormat="false" ht="15" hidden="false" customHeight="false" outlineLevel="0" collapsed="false">
      <c r="B1" s="1" t="s">
        <v>247</v>
      </c>
    </row>
    <row r="3" customFormat="false" ht="15" hidden="false" customHeight="false" outlineLevel="0" collapsed="false">
      <c r="B3" s="24" t="s">
        <v>248</v>
      </c>
      <c r="C3" s="3" t="s">
        <v>249</v>
      </c>
    </row>
    <row r="4" customFormat="false" ht="15" hidden="false" customHeight="false" outlineLevel="0" collapsed="false">
      <c r="B4" s="24" t="s">
        <v>250</v>
      </c>
      <c r="C4" s="3" t="s">
        <v>251</v>
      </c>
    </row>
    <row r="5" customFormat="false" ht="15" hidden="false" customHeight="false" outlineLevel="0" collapsed="false">
      <c r="B5" s="24" t="s">
        <v>252</v>
      </c>
      <c r="C5" s="3" t="s">
        <v>253</v>
      </c>
    </row>
    <row r="6" customFormat="false" ht="15" hidden="false" customHeight="false" outlineLevel="0" collapsed="false">
      <c r="B6" s="24" t="s">
        <v>254</v>
      </c>
      <c r="C6" s="3" t="s">
        <v>2</v>
      </c>
    </row>
    <row r="7" customFormat="false" ht="15" hidden="false" customHeight="false" outlineLevel="0" collapsed="false">
      <c r="B7" s="24" t="s">
        <v>255</v>
      </c>
      <c r="C7" s="3" t="s">
        <v>3</v>
      </c>
    </row>
    <row r="8" customFormat="false" ht="15" hidden="false" customHeight="false" outlineLevel="0" collapsed="false">
      <c r="B8" s="24" t="s">
        <v>256</v>
      </c>
      <c r="C8" s="3" t="s">
        <v>257</v>
      </c>
    </row>
    <row r="9" customFormat="false" ht="15" hidden="false" customHeight="false" outlineLevel="0" collapsed="false">
      <c r="B9" s="24" t="s">
        <v>258</v>
      </c>
      <c r="C9" s="3" t="s">
        <v>259</v>
      </c>
    </row>
    <row r="10" customFormat="false" ht="15" hidden="false" customHeight="false" outlineLevel="0" collapsed="false">
      <c r="B10" s="24" t="s">
        <v>260</v>
      </c>
      <c r="C10" s="3" t="s">
        <v>261</v>
      </c>
    </row>
    <row r="11" customFormat="false" ht="15" hidden="false" customHeight="false" outlineLevel="0" collapsed="false">
      <c r="B11" s="24" t="s">
        <v>262</v>
      </c>
      <c r="C11" s="3" t="s">
        <v>263</v>
      </c>
    </row>
    <row r="12" customFormat="false" ht="15" hidden="false" customHeight="false" outlineLevel="0" collapsed="false">
      <c r="B12" s="24" t="s">
        <v>264</v>
      </c>
      <c r="C12" s="3" t="s">
        <v>265</v>
      </c>
    </row>
    <row r="13" customFormat="false" ht="15" hidden="false" customHeight="false" outlineLevel="0" collapsed="false">
      <c r="B13" s="24" t="s">
        <v>266</v>
      </c>
      <c r="C13" s="3" t="s">
        <v>267</v>
      </c>
    </row>
    <row r="15" customFormat="false" ht="15" hidden="false" customHeight="false" outlineLevel="0" collapsed="false">
      <c r="B15" s="24" t="s">
        <v>268</v>
      </c>
      <c r="C15" s="3" t="s">
        <v>269</v>
      </c>
    </row>
    <row r="16" customFormat="false" ht="15" hidden="false" customHeight="false" outlineLevel="0" collapsed="false">
      <c r="B16" s="24" t="s">
        <v>270</v>
      </c>
      <c r="C16" s="3" t="s">
        <v>271</v>
      </c>
    </row>
    <row r="17" customFormat="false" ht="15" hidden="false" customHeight="false" outlineLevel="0" collapsed="false">
      <c r="B17" s="24" t="s">
        <v>272</v>
      </c>
      <c r="C17" s="3" t="s">
        <v>273</v>
      </c>
    </row>
    <row r="18" customFormat="false" ht="15" hidden="false" customHeight="false" outlineLevel="0" collapsed="false">
      <c r="B18" s="24" t="s">
        <v>274</v>
      </c>
      <c r="C18" s="3" t="s">
        <v>275</v>
      </c>
    </row>
    <row r="20" customFormat="false" ht="15" hidden="false" customHeight="false" outlineLevel="0" collapsed="false">
      <c r="B20" s="24" t="s">
        <v>276</v>
      </c>
      <c r="C20" s="3" t="s">
        <v>277</v>
      </c>
    </row>
    <row r="22" customFormat="false" ht="15" hidden="false" customHeight="false" outlineLevel="0" collapsed="false">
      <c r="B22" s="24" t="s">
        <v>278</v>
      </c>
      <c r="C22" s="3" t="s">
        <v>279</v>
      </c>
    </row>
    <row r="23" customFormat="false" ht="15" hidden="false" customHeight="false" outlineLevel="0" collapsed="false">
      <c r="B23" s="24" t="s">
        <v>280</v>
      </c>
      <c r="C23" s="3" t="s">
        <v>281</v>
      </c>
    </row>
    <row r="24" customFormat="false" ht="15" hidden="false" customHeight="false" outlineLevel="0" collapsed="false">
      <c r="B24" s="24" t="s">
        <v>282</v>
      </c>
      <c r="C24" s="3" t="s">
        <v>283</v>
      </c>
    </row>
    <row r="25" customFormat="false" ht="15" hidden="false" customHeight="false" outlineLevel="0" collapsed="false">
      <c r="B25" s="24" t="s">
        <v>284</v>
      </c>
      <c r="C25" s="3" t="s">
        <v>285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2026-04-18T08:22:13Z</dcterms:created>
  <dc:creator>openpyxl</dc:creator>
  <dc:description/>
  <dc:language>en-US</dc:language>
  <cp:lastModifiedBy/>
  <dcterms:modified xsi:type="dcterms:W3CDTF">2026-04-18T08:22:13Z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